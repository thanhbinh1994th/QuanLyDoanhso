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6cf04cac998b413/Desktop/QUANLY/client/"/>
    </mc:Choice>
  </mc:AlternateContent>
  <xr:revisionPtr revIDLastSave="25" documentId="11_F1AB0737FE387D6A2061024148D39B97A02C20A1" xr6:coauthVersionLast="47" xr6:coauthVersionMax="47" xr10:uidLastSave="{53E2C322-AC1D-4040-8466-9A82409B7E46}"/>
  <bookViews>
    <workbookView xWindow="3510" yWindow="600" windowWidth="14400" windowHeight="15600" xr2:uid="{00000000-000D-0000-FFFF-FFFF00000000}"/>
  </bookViews>
  <sheets>
    <sheet name="Template" sheetId="3" r:id="rId1"/>
    <sheet name="THeDUc" sheetId="1" r:id="rId2"/>
    <sheet name="z" sheetId="2" r:id="rId3"/>
  </sheets>
  <definedNames>
    <definedName name="ExternalData_1" localSheetId="2" hidden="1">z!$A$1:$K$5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J5" i="3" s="1"/>
  <c r="I4" i="3"/>
  <c r="J4" i="3" s="1"/>
  <c r="I3" i="3"/>
  <c r="J3" i="3" s="1"/>
  <c r="I2" i="3"/>
  <c r="J2" i="3" s="1"/>
  <c r="I6" i="1"/>
  <c r="J6" i="1"/>
  <c r="I7" i="1"/>
  <c r="J7" i="1" s="1"/>
  <c r="I8" i="1"/>
  <c r="J8" i="1" s="1"/>
  <c r="I9" i="1"/>
  <c r="J9" i="1"/>
  <c r="I10" i="1"/>
  <c r="J10" i="1" s="1"/>
  <c r="I11" i="1"/>
  <c r="J11" i="1"/>
  <c r="I12" i="1"/>
  <c r="J12" i="1"/>
  <c r="I13" i="1"/>
  <c r="J13" i="1" s="1"/>
  <c r="I14" i="1"/>
  <c r="J14" i="1"/>
  <c r="I15" i="1"/>
  <c r="J15" i="1"/>
  <c r="I5" i="1"/>
  <c r="J5" i="1" s="1"/>
  <c r="J4" i="1"/>
  <c r="I4" i="1"/>
  <c r="I3" i="1"/>
  <c r="J3" i="1" s="1"/>
  <c r="I2" i="1"/>
  <c r="J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561670-AFD7-4BDE-A4A1-43C04363BF66}" keepAlive="1" name="Query - a" description="Connection to the 'a' query in the workbook." type="5" refreshedVersion="8" background="1" saveData="1">
    <dbPr connection="Provider=Microsoft.Mashup.OleDb.1;Data Source=$Workbook$;Location=a;Extended Properties=&quot;&quot;" command="SELECT * FROM [a]"/>
  </connection>
</connections>
</file>

<file path=xl/sharedStrings.xml><?xml version="1.0" encoding="utf-8"?>
<sst xmlns="http://schemas.openxmlformats.org/spreadsheetml/2006/main" count="84" uniqueCount="32">
  <si>
    <t>Mã Khách hàng</t>
  </si>
  <si>
    <t>Tên khách hàng</t>
  </si>
  <si>
    <t>Ngày tháng</t>
  </si>
  <si>
    <t>Số bao</t>
  </si>
  <si>
    <t>Khối lượng</t>
  </si>
  <si>
    <t>Tổng khối lượng</t>
  </si>
  <si>
    <t>Số con</t>
  </si>
  <si>
    <t>Đơn giá</t>
  </si>
  <si>
    <t>Thành tiền</t>
  </si>
  <si>
    <t>Tổng tiền</t>
  </si>
  <si>
    <t>Ghi chú</t>
  </si>
  <si>
    <t>KH001</t>
  </si>
  <si>
    <t>Đã thu</t>
  </si>
  <si>
    <t>chua</t>
  </si>
  <si>
    <t>Thế Đức</t>
  </si>
  <si>
    <t>Ma_khach</t>
  </si>
  <si>
    <t>Ten_khach</t>
  </si>
  <si>
    <t>Ngay</t>
  </si>
  <si>
    <t>So_bao</t>
  </si>
  <si>
    <t>So_kg</t>
  </si>
  <si>
    <t>Tong_luong_kg</t>
  </si>
  <si>
    <t>So_con</t>
  </si>
  <si>
    <t>Don_gia</t>
  </si>
  <si>
    <t>Thanh_tien</t>
  </si>
  <si>
    <t>Tong_tien</t>
  </si>
  <si>
    <t>Ghi_chu</t>
  </si>
  <si>
    <t>KH003</t>
  </si>
  <si>
    <t>Khach C</t>
  </si>
  <si>
    <t/>
  </si>
  <si>
    <t xml:space="preserve"> Tong_luong handwritten = 6107 (uncertain)</t>
  </si>
  <si>
    <t>KH002</t>
  </si>
  <si>
    <t>Cô Thê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</si>
</sst>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37" fontId="0" fillId="0" borderId="0" xfId="1" applyNumberFormat="1" applyFont="1"/>
    <xf numFmtId="2" fontId="0" fillId="0" borderId="0" xfId="1" applyNumberFormat="1" applyFont="1"/>
    <xf numFmtId="0" fontId="0" fillId="2" borderId="1" xfId="0" applyFill="1" applyBorder="1"/>
    <xf numFmtId="0" fontId="0" fillId="0" borderId="1" xfId="0" applyBorder="1"/>
    <xf numFmtId="14" fontId="0" fillId="2" borderId="1" xfId="0" applyNumberFormat="1" applyFill="1" applyBorder="1"/>
    <xf numFmtId="14" fontId="0" fillId="0" borderId="1" xfId="0" applyNumberFormat="1" applyBorder="1"/>
  </cellXfs>
  <cellStyles count="2">
    <cellStyle name="Comma" xfId="1" builtinId="3"/>
    <cellStyle name="Normal" xfId="0" builtinId="0"/>
  </cellStyles>
  <dxfs count="4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CED3CF-6596-43C8-B059-76F5858AB725}" autoFormatId="16" applyNumberFormats="0" applyBorderFormats="0" applyFontFormats="0" applyPatternFormats="0" applyAlignmentFormats="0" applyWidthHeightFormats="0">
  <queryTableRefresh nextId="12">
    <queryTableFields count="11">
      <queryTableField id="1" name="Ma_khach" tableColumnId="1"/>
      <queryTableField id="2" name="Ten_khach" tableColumnId="2"/>
      <queryTableField id="3" name="Ngay" tableColumnId="3"/>
      <queryTableField id="4" name="So_bao" tableColumnId="4"/>
      <queryTableField id="5" name="So_kg" tableColumnId="5"/>
      <queryTableField id="6" name="Tong_luong_kg" tableColumnId="6"/>
      <queryTableField id="7" name="So_con" tableColumnId="7"/>
      <queryTableField id="8" name="Don_gia" tableColumnId="8"/>
      <queryTableField id="9" name="Thanh_tien" tableColumnId="9"/>
      <queryTableField id="10" name="Tong_tien" tableColumnId="10"/>
      <queryTableField id="11" name="Ghi_chu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DE4B8-352C-4D7B-B726-6F696B8AB99A}" name="a" displayName="a" ref="A1:K5" tableType="queryTable" totalsRowShown="0">
  <autoFilter ref="A1:K5" xr:uid="{6DEDE4B8-352C-4D7B-B726-6F696B8AB99A}"/>
  <tableColumns count="11">
    <tableColumn id="1" xr3:uid="{B420AC78-878B-442D-9AB0-32F0DD1D8F82}" uniqueName="1" name="Ma_khach" queryTableFieldId="1" dataDxfId="3"/>
    <tableColumn id="2" xr3:uid="{68C4D6FB-108C-4550-96A2-09218BFD5964}" uniqueName="2" name="Ten_khach" queryTableFieldId="2" dataDxfId="2"/>
    <tableColumn id="3" xr3:uid="{EF8C390A-CFDE-40A8-9AE7-FC3FE6DF882F}" uniqueName="3" name="Ngay" queryTableFieldId="3" dataDxfId="1"/>
    <tableColumn id="4" xr3:uid="{42C930DA-B6EF-4F52-82AC-C3E2C202363D}" uniqueName="4" name="So_bao" queryTableFieldId="4"/>
    <tableColumn id="5" xr3:uid="{93542E42-80E0-4719-BE4E-A776B647BA79}" uniqueName="5" name="So_kg" queryTableFieldId="5"/>
    <tableColumn id="6" xr3:uid="{536410C8-D73A-4EF0-B30C-A0D95341DCB9}" uniqueName="6" name="Tong_luong_kg" queryTableFieldId="6"/>
    <tableColumn id="7" xr3:uid="{DE1D5FC9-442E-4902-9D99-C9AFB4523067}" uniqueName="7" name="So_con" queryTableFieldId="7"/>
    <tableColumn id="8" xr3:uid="{6C25F58D-227E-488E-B705-5464A0C7C6F4}" uniqueName="8" name="Don_gia" queryTableFieldId="8"/>
    <tableColumn id="9" xr3:uid="{C72067B6-DF7F-4591-9D6B-2051521184CC}" uniqueName="9" name="Thanh_tien" queryTableFieldId="9"/>
    <tableColumn id="10" xr3:uid="{B840702E-4C2E-48AC-A61B-38DF06B2DF0B}" uniqueName="10" name="Tong_tien" queryTableFieldId="10"/>
    <tableColumn id="11" xr3:uid="{009D8B0A-83C7-4A9E-9BA7-2E55F5BA625B}" uniqueName="11" name="Ghi_chu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04D2-EA13-46A4-8E29-71C1E6BE6B85}">
  <dimension ref="A1:K22"/>
  <sheetViews>
    <sheetView tabSelected="1" workbookViewId="0">
      <selection activeCell="C4" sqref="C4"/>
    </sheetView>
  </sheetViews>
  <sheetFormatPr defaultRowHeight="15.75" x14ac:dyDescent="0.25"/>
  <cols>
    <col min="1" max="1" width="13.875" customWidth="1"/>
    <col min="2" max="2" width="15.375" customWidth="1"/>
    <col min="3" max="3" width="12.125" customWidth="1"/>
    <col min="10" max="10" width="12.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30</v>
      </c>
      <c r="B2" t="s">
        <v>31</v>
      </c>
      <c r="C2" s="7">
        <v>45902</v>
      </c>
      <c r="D2" s="5">
        <v>125</v>
      </c>
      <c r="E2" s="5">
        <v>65</v>
      </c>
      <c r="F2" s="5">
        <v>8125</v>
      </c>
      <c r="G2" s="5">
        <v>700</v>
      </c>
      <c r="H2" s="6">
        <v>40</v>
      </c>
      <c r="I2" s="2">
        <f>G2*H2</f>
        <v>28000</v>
      </c>
      <c r="J2" s="2">
        <f>F2*I2</f>
        <v>227500000</v>
      </c>
    </row>
    <row r="3" spans="1:11" x14ac:dyDescent="0.25">
      <c r="A3" t="s">
        <v>30</v>
      </c>
      <c r="B3" t="s">
        <v>31</v>
      </c>
      <c r="C3" s="8">
        <v>45903</v>
      </c>
      <c r="D3" s="6">
        <v>95</v>
      </c>
      <c r="E3" s="6">
        <v>70</v>
      </c>
      <c r="F3" s="6">
        <v>6745</v>
      </c>
      <c r="G3" s="6">
        <v>750</v>
      </c>
      <c r="H3" s="6">
        <v>40</v>
      </c>
      <c r="I3" s="2">
        <f t="shared" ref="I3:I5" si="0">G3*H3</f>
        <v>30000</v>
      </c>
      <c r="J3" s="2">
        <f t="shared" ref="J3:J5" si="1">F3*I3</f>
        <v>202350000</v>
      </c>
    </row>
    <row r="4" spans="1:11" x14ac:dyDescent="0.25">
      <c r="A4" t="s">
        <v>30</v>
      </c>
      <c r="B4" t="s">
        <v>31</v>
      </c>
      <c r="C4" s="7">
        <v>45904</v>
      </c>
      <c r="D4" s="5">
        <v>78</v>
      </c>
      <c r="E4" s="6">
        <v>70</v>
      </c>
      <c r="F4" s="5">
        <v>5538</v>
      </c>
      <c r="G4" s="5">
        <v>700</v>
      </c>
      <c r="H4" s="6">
        <v>40</v>
      </c>
      <c r="I4" s="2">
        <f t="shared" si="0"/>
        <v>28000</v>
      </c>
      <c r="J4" s="2">
        <f t="shared" si="1"/>
        <v>155064000</v>
      </c>
    </row>
    <row r="5" spans="1:11" x14ac:dyDescent="0.25">
      <c r="A5" t="s">
        <v>30</v>
      </c>
      <c r="B5" t="s">
        <v>31</v>
      </c>
      <c r="C5" s="8">
        <v>45905</v>
      </c>
      <c r="D5" s="6">
        <v>86</v>
      </c>
      <c r="E5" s="6">
        <v>70</v>
      </c>
      <c r="F5" s="6">
        <v>6107</v>
      </c>
      <c r="G5" s="6">
        <v>700</v>
      </c>
      <c r="H5" s="6">
        <v>40</v>
      </c>
      <c r="I5" s="2">
        <f t="shared" si="0"/>
        <v>28000</v>
      </c>
      <c r="J5" s="2">
        <f t="shared" si="1"/>
        <v>170996000</v>
      </c>
    </row>
    <row r="6" spans="1:11" x14ac:dyDescent="0.25">
      <c r="C6" s="1"/>
      <c r="I6" s="2"/>
      <c r="J6" s="2"/>
    </row>
    <row r="7" spans="1:11" x14ac:dyDescent="0.25">
      <c r="C7" s="1"/>
      <c r="I7" s="2"/>
      <c r="J7" s="2"/>
    </row>
    <row r="8" spans="1:11" x14ac:dyDescent="0.25">
      <c r="C8" s="1"/>
      <c r="I8" s="2"/>
      <c r="J8" s="2"/>
    </row>
    <row r="9" spans="1:11" x14ac:dyDescent="0.25">
      <c r="C9" s="1"/>
      <c r="I9" s="2"/>
      <c r="J9" s="2"/>
    </row>
    <row r="10" spans="1:11" x14ac:dyDescent="0.25">
      <c r="C10" s="1"/>
      <c r="I10" s="2"/>
      <c r="J10" s="2"/>
    </row>
    <row r="11" spans="1:11" x14ac:dyDescent="0.25">
      <c r="C11" s="1"/>
      <c r="I11" s="2"/>
      <c r="J11" s="2"/>
    </row>
    <row r="12" spans="1:11" x14ac:dyDescent="0.25">
      <c r="C12" s="1"/>
      <c r="I12" s="2"/>
      <c r="J12" s="2"/>
    </row>
    <row r="13" spans="1:11" x14ac:dyDescent="0.25">
      <c r="C13" s="1"/>
      <c r="I13" s="2"/>
      <c r="J13" s="2"/>
    </row>
    <row r="14" spans="1:11" x14ac:dyDescent="0.25">
      <c r="C14" s="1"/>
      <c r="I14" s="2"/>
      <c r="J14" s="2"/>
    </row>
    <row r="15" spans="1:11" x14ac:dyDescent="0.25">
      <c r="C15" s="1"/>
      <c r="I15" s="2"/>
      <c r="J15" s="2"/>
    </row>
    <row r="16" spans="1:11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workbookViewId="0">
      <selection activeCell="I2" sqref="I2"/>
    </sheetView>
  </sheetViews>
  <sheetFormatPr defaultRowHeight="15.75" x14ac:dyDescent="0.25"/>
  <cols>
    <col min="1" max="1" width="13.875" customWidth="1"/>
    <col min="2" max="2" width="15.375" customWidth="1"/>
    <col min="3" max="3" width="12.125" customWidth="1"/>
    <col min="10" max="10" width="12.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14</v>
      </c>
      <c r="C2" s="1">
        <v>45823</v>
      </c>
      <c r="D2">
        <v>99</v>
      </c>
      <c r="E2">
        <v>54</v>
      </c>
      <c r="F2">
        <v>5369</v>
      </c>
      <c r="G2">
        <v>1150</v>
      </c>
      <c r="H2">
        <v>33</v>
      </c>
      <c r="I2" s="2">
        <f>G2*H2</f>
        <v>37950</v>
      </c>
      <c r="J2" s="3">
        <f>F2*I2</f>
        <v>203753550</v>
      </c>
    </row>
    <row r="3" spans="1:11" x14ac:dyDescent="0.25">
      <c r="A3" t="s">
        <v>11</v>
      </c>
      <c r="B3" t="s">
        <v>14</v>
      </c>
      <c r="C3" s="1">
        <v>45826</v>
      </c>
      <c r="D3">
        <v>103</v>
      </c>
      <c r="E3">
        <v>16</v>
      </c>
      <c r="F3">
        <v>1667</v>
      </c>
      <c r="G3">
        <v>790</v>
      </c>
      <c r="H3">
        <v>37</v>
      </c>
      <c r="I3" s="2">
        <f t="shared" ref="I3:I15" si="0">G3*H3</f>
        <v>29230</v>
      </c>
      <c r="J3" s="2">
        <f t="shared" ref="J3:J15" si="1">F3*I3</f>
        <v>48726410</v>
      </c>
    </row>
    <row r="4" spans="1:11" x14ac:dyDescent="0.25">
      <c r="A4" t="s">
        <v>11</v>
      </c>
      <c r="B4" t="s">
        <v>14</v>
      </c>
      <c r="C4" s="1">
        <v>45827</v>
      </c>
      <c r="D4">
        <v>88</v>
      </c>
      <c r="E4">
        <v>70</v>
      </c>
      <c r="F4">
        <v>5883</v>
      </c>
      <c r="G4">
        <v>1200</v>
      </c>
      <c r="H4">
        <v>33</v>
      </c>
      <c r="I4" s="2">
        <f t="shared" si="0"/>
        <v>39600</v>
      </c>
      <c r="J4" s="4">
        <f t="shared" si="1"/>
        <v>232966800</v>
      </c>
    </row>
    <row r="5" spans="1:11" x14ac:dyDescent="0.25">
      <c r="A5" t="s">
        <v>11</v>
      </c>
      <c r="B5" t="s">
        <v>14</v>
      </c>
      <c r="C5" s="1">
        <v>45827</v>
      </c>
      <c r="D5">
        <v>22</v>
      </c>
      <c r="E5">
        <v>70</v>
      </c>
      <c r="F5">
        <v>1562</v>
      </c>
      <c r="G5">
        <v>650</v>
      </c>
      <c r="H5">
        <v>43</v>
      </c>
      <c r="I5" s="2">
        <f t="shared" si="0"/>
        <v>27950</v>
      </c>
      <c r="J5" s="2">
        <f t="shared" si="1"/>
        <v>43657900</v>
      </c>
    </row>
    <row r="6" spans="1:11" x14ac:dyDescent="0.25">
      <c r="A6" t="s">
        <v>11</v>
      </c>
      <c r="B6" t="s">
        <v>14</v>
      </c>
      <c r="C6" s="1">
        <v>45844</v>
      </c>
      <c r="D6">
        <v>89</v>
      </c>
      <c r="E6">
        <v>70</v>
      </c>
      <c r="F6">
        <v>6319</v>
      </c>
      <c r="G6">
        <v>1050</v>
      </c>
      <c r="H6">
        <v>34</v>
      </c>
      <c r="I6" s="2">
        <f t="shared" si="0"/>
        <v>35700</v>
      </c>
      <c r="J6" s="2">
        <f t="shared" si="1"/>
        <v>225588300</v>
      </c>
    </row>
    <row r="7" spans="1:11" x14ac:dyDescent="0.25">
      <c r="A7" t="s">
        <v>11</v>
      </c>
      <c r="B7" t="s">
        <v>14</v>
      </c>
      <c r="C7" s="1">
        <v>45844</v>
      </c>
      <c r="D7">
        <v>39</v>
      </c>
      <c r="E7">
        <v>70</v>
      </c>
      <c r="F7">
        <v>2769</v>
      </c>
      <c r="G7">
        <v>590</v>
      </c>
      <c r="H7">
        <v>43</v>
      </c>
      <c r="I7" s="2">
        <f t="shared" si="0"/>
        <v>25370</v>
      </c>
      <c r="J7" s="2">
        <f t="shared" si="1"/>
        <v>70249530</v>
      </c>
    </row>
    <row r="8" spans="1:11" x14ac:dyDescent="0.25">
      <c r="A8" t="s">
        <v>11</v>
      </c>
      <c r="B8" t="s">
        <v>14</v>
      </c>
      <c r="C8" s="1">
        <v>45845</v>
      </c>
      <c r="D8">
        <v>84</v>
      </c>
      <c r="E8">
        <v>70</v>
      </c>
      <c r="F8">
        <v>5964</v>
      </c>
      <c r="G8">
        <v>1000</v>
      </c>
      <c r="H8">
        <v>35</v>
      </c>
      <c r="I8" s="2">
        <f t="shared" si="0"/>
        <v>35000</v>
      </c>
      <c r="J8" s="2">
        <f t="shared" si="1"/>
        <v>208740000</v>
      </c>
    </row>
    <row r="9" spans="1:11" x14ac:dyDescent="0.25">
      <c r="A9" t="s">
        <v>11</v>
      </c>
      <c r="B9" t="s">
        <v>14</v>
      </c>
      <c r="C9" s="1">
        <v>45845</v>
      </c>
      <c r="D9">
        <v>9</v>
      </c>
      <c r="E9">
        <v>70</v>
      </c>
      <c r="F9">
        <v>639</v>
      </c>
      <c r="G9">
        <v>580</v>
      </c>
      <c r="H9">
        <v>43</v>
      </c>
      <c r="I9" s="2">
        <f t="shared" si="0"/>
        <v>24940</v>
      </c>
      <c r="J9" s="2">
        <f t="shared" si="1"/>
        <v>15936660</v>
      </c>
    </row>
    <row r="10" spans="1:11" x14ac:dyDescent="0.25">
      <c r="A10" t="s">
        <v>11</v>
      </c>
      <c r="B10" t="s">
        <v>14</v>
      </c>
      <c r="C10" s="1">
        <v>45848</v>
      </c>
      <c r="D10">
        <v>166</v>
      </c>
      <c r="E10">
        <v>60</v>
      </c>
      <c r="F10">
        <v>9960</v>
      </c>
      <c r="G10">
        <v>1000</v>
      </c>
      <c r="H10">
        <v>35</v>
      </c>
      <c r="I10" s="2">
        <f t="shared" si="0"/>
        <v>35000</v>
      </c>
      <c r="J10" s="2">
        <f t="shared" si="1"/>
        <v>348600000</v>
      </c>
      <c r="K10" t="s">
        <v>12</v>
      </c>
    </row>
    <row r="11" spans="1:11" x14ac:dyDescent="0.25">
      <c r="A11" t="s">
        <v>11</v>
      </c>
      <c r="B11" t="s">
        <v>14</v>
      </c>
      <c r="C11" s="1">
        <v>45874</v>
      </c>
      <c r="D11">
        <v>65</v>
      </c>
      <c r="E11">
        <v>70</v>
      </c>
      <c r="F11">
        <v>4637</v>
      </c>
      <c r="G11">
        <v>960</v>
      </c>
      <c r="H11">
        <v>34</v>
      </c>
      <c r="I11" s="2">
        <f t="shared" si="0"/>
        <v>32640</v>
      </c>
      <c r="J11" s="2">
        <f t="shared" si="1"/>
        <v>151351680</v>
      </c>
      <c r="K11">
        <v>4637</v>
      </c>
    </row>
    <row r="12" spans="1:11" x14ac:dyDescent="0.25">
      <c r="A12" t="s">
        <v>11</v>
      </c>
      <c r="B12" t="s">
        <v>14</v>
      </c>
      <c r="C12" s="1">
        <v>45875</v>
      </c>
      <c r="D12">
        <v>63</v>
      </c>
      <c r="E12" t="s">
        <v>13</v>
      </c>
      <c r="F12">
        <v>4481</v>
      </c>
      <c r="G12">
        <v>900</v>
      </c>
      <c r="H12">
        <v>34</v>
      </c>
      <c r="I12" s="2">
        <f t="shared" si="0"/>
        <v>30600</v>
      </c>
      <c r="J12" s="2">
        <f t="shared" si="1"/>
        <v>137118600</v>
      </c>
    </row>
    <row r="13" spans="1:11" x14ac:dyDescent="0.25">
      <c r="A13" t="s">
        <v>11</v>
      </c>
      <c r="B13" t="s">
        <v>14</v>
      </c>
      <c r="C13" s="1">
        <v>45876</v>
      </c>
      <c r="D13">
        <v>62</v>
      </c>
      <c r="E13" t="s">
        <v>13</v>
      </c>
      <c r="F13">
        <v>4300</v>
      </c>
      <c r="G13">
        <v>950</v>
      </c>
      <c r="H13">
        <v>34</v>
      </c>
      <c r="I13" s="2">
        <f t="shared" si="0"/>
        <v>32300</v>
      </c>
      <c r="J13" s="2">
        <f t="shared" si="1"/>
        <v>138890000</v>
      </c>
      <c r="K13">
        <v>53</v>
      </c>
    </row>
    <row r="14" spans="1:11" x14ac:dyDescent="0.25">
      <c r="A14" t="s">
        <v>11</v>
      </c>
      <c r="B14" t="s">
        <v>14</v>
      </c>
      <c r="C14" s="1">
        <v>45877</v>
      </c>
      <c r="D14">
        <v>100</v>
      </c>
      <c r="E14">
        <v>65</v>
      </c>
      <c r="F14">
        <v>6500</v>
      </c>
      <c r="G14">
        <v>900</v>
      </c>
      <c r="H14">
        <v>34</v>
      </c>
      <c r="I14" s="2">
        <f t="shared" si="0"/>
        <v>30600</v>
      </c>
      <c r="J14" s="2">
        <f t="shared" si="1"/>
        <v>198900000</v>
      </c>
    </row>
    <row r="15" spans="1:11" x14ac:dyDescent="0.25">
      <c r="A15" t="s">
        <v>11</v>
      </c>
      <c r="B15" t="s">
        <v>14</v>
      </c>
      <c r="C15" s="1">
        <v>45878</v>
      </c>
      <c r="D15">
        <v>69</v>
      </c>
      <c r="E15">
        <v>66</v>
      </c>
      <c r="F15">
        <v>4525</v>
      </c>
      <c r="G15">
        <v>900</v>
      </c>
      <c r="H15">
        <v>34</v>
      </c>
      <c r="I15" s="2">
        <f t="shared" si="0"/>
        <v>30600</v>
      </c>
      <c r="J15" s="2">
        <f t="shared" si="1"/>
        <v>138465000</v>
      </c>
    </row>
    <row r="16" spans="1:11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</sheetData>
  <pageMargins left="0.7" right="0.7" top="0.75" bottom="0.75" header="0.3" footer="0.3"/>
  <ignoredErrors>
    <ignoredError sqref="A1:K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F71B-E06A-4F2E-83FC-CC21EE88A910}">
  <dimension ref="A1:K5"/>
  <sheetViews>
    <sheetView workbookViewId="0">
      <selection activeCell="C2" sqref="C2:H5"/>
    </sheetView>
  </sheetViews>
  <sheetFormatPr defaultRowHeight="15.75" x14ac:dyDescent="0.25"/>
  <cols>
    <col min="1" max="1" width="11.75" bestFit="1" customWidth="1"/>
    <col min="2" max="2" width="12.125" bestFit="1" customWidth="1"/>
    <col min="3" max="3" width="10.375" bestFit="1" customWidth="1"/>
    <col min="4" max="4" width="9.25" bestFit="1" customWidth="1"/>
    <col min="5" max="5" width="8" bestFit="1" customWidth="1"/>
    <col min="6" max="6" width="16.125" bestFit="1" customWidth="1"/>
    <col min="7" max="7" width="9.125" bestFit="1" customWidth="1"/>
    <col min="8" max="8" width="9.875" bestFit="1" customWidth="1"/>
    <col min="9" max="9" width="12.625" bestFit="1" customWidth="1"/>
    <col min="10" max="10" width="11.5" bestFit="1" customWidth="1"/>
    <col min="11" max="11" width="37.25" bestFit="1" customWidth="1"/>
  </cols>
  <sheetData>
    <row r="1" spans="1:11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 x14ac:dyDescent="0.25">
      <c r="A2" t="s">
        <v>26</v>
      </c>
      <c r="B2" t="s">
        <v>27</v>
      </c>
      <c r="C2" s="1">
        <v>45902</v>
      </c>
      <c r="D2">
        <v>125</v>
      </c>
      <c r="E2">
        <v>65</v>
      </c>
      <c r="F2">
        <v>8125</v>
      </c>
      <c r="G2">
        <v>700</v>
      </c>
      <c r="H2">
        <v>20</v>
      </c>
      <c r="I2">
        <v>14000</v>
      </c>
      <c r="J2">
        <v>113750000</v>
      </c>
      <c r="K2" t="s">
        <v>28</v>
      </c>
    </row>
    <row r="3" spans="1:11" x14ac:dyDescent="0.25">
      <c r="A3" t="s">
        <v>26</v>
      </c>
      <c r="B3" t="s">
        <v>27</v>
      </c>
      <c r="C3" s="1">
        <v>45903</v>
      </c>
      <c r="D3">
        <v>95</v>
      </c>
      <c r="E3">
        <v>71</v>
      </c>
      <c r="F3">
        <v>6745</v>
      </c>
      <c r="G3">
        <v>750</v>
      </c>
      <c r="H3">
        <v>20</v>
      </c>
      <c r="I3">
        <v>15000</v>
      </c>
      <c r="J3">
        <v>101175000</v>
      </c>
      <c r="K3" t="s">
        <v>28</v>
      </c>
    </row>
    <row r="4" spans="1:11" x14ac:dyDescent="0.25">
      <c r="A4" t="s">
        <v>26</v>
      </c>
      <c r="B4" t="s">
        <v>27</v>
      </c>
      <c r="C4" s="1">
        <v>45873</v>
      </c>
      <c r="D4">
        <v>78</v>
      </c>
      <c r="E4">
        <v>71</v>
      </c>
      <c r="F4">
        <v>5538</v>
      </c>
      <c r="G4">
        <v>700</v>
      </c>
      <c r="H4">
        <v>20</v>
      </c>
      <c r="I4">
        <v>14000</v>
      </c>
      <c r="J4">
        <v>77532000</v>
      </c>
      <c r="K4" t="s">
        <v>28</v>
      </c>
    </row>
    <row r="5" spans="1:11" x14ac:dyDescent="0.25">
      <c r="A5" t="s">
        <v>26</v>
      </c>
      <c r="B5" t="s">
        <v>27</v>
      </c>
      <c r="C5" s="1">
        <v>45905</v>
      </c>
      <c r="D5">
        <v>86</v>
      </c>
      <c r="E5">
        <v>71</v>
      </c>
      <c r="F5">
        <v>6107</v>
      </c>
      <c r="G5">
        <v>700</v>
      </c>
      <c r="H5">
        <v>40</v>
      </c>
      <c r="I5">
        <v>28000</v>
      </c>
      <c r="J5">
        <v>170996000</v>
      </c>
      <c r="K5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4D53CE-6C24-46D2-A5A3-0DD5F0D1D2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THeDUc</vt:lpstr>
      <vt:lpstr>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Bình Lê</cp:lastModifiedBy>
  <dcterms:modified xsi:type="dcterms:W3CDTF">2025-11-15T13:27:53Z</dcterms:modified>
</cp:coreProperties>
</file>